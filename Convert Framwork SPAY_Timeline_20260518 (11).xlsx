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kiethn40066\Downloads\"/>
    </mc:Choice>
  </mc:AlternateContent>
  <xr:revisionPtr revIDLastSave="0" documentId="13_ncr:1_{2F2558F6-5870-41C8-91E8-7EF1E22096CA}" xr6:coauthVersionLast="47" xr6:coauthVersionMax="47" xr10:uidLastSave="{00000000-0000-0000-0000-000000000000}"/>
  <bookViews>
    <workbookView xWindow="-28920" yWindow="-105" windowWidth="29040" windowHeight="15720" xr2:uid="{00000000-000D-0000-FFFF-FFFF00000000}"/>
  </bookViews>
  <sheets>
    <sheet name="Timeline" sheetId="7" r:id="rId1"/>
    <sheet name="Checklist ReviewTestcase" sheetId="16" state="hidden" r:id="rId2"/>
    <sheet name="Project DailyReport" sheetId="15" state="hidden" r:id="rId3"/>
    <sheet name="Testcase Summary" sheetId="13" state="hidden" r:id="rId4"/>
    <sheet name="Jira Dashboard" sheetId="14" state="hidden" r:id="rId5"/>
    <sheet name="Status" sheetId="8" state="hidden"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<sst xmlns="http://schemas.openxmlformats.org/spreadsheetml/2006/main" count="123" uniqueCount="123">
  <si>
    <t>WBS</t>
  </si>
  <si>
    <t>PYC - Task Name</t>
  </si>
  <si>
    <t>Env
Version</t>
  </si>
  <si>
    <t xml:space="preserve">       Status       </t>
  </si>
  <si>
    <t>%
Complete</t>
  </si>
  <si>
    <t xml:space="preserve">      Start      </t>
  </si>
  <si>
    <t xml:space="preserve">     Finish     </t>
  </si>
  <si>
    <t>Estimate
(hours)</t>
  </si>
  <si>
    <t>Effort
(hours)</t>
  </si>
  <si>
    <t>Chi tiết task / Tiến độ chi tiết</t>
  </si>
  <si>
    <t>OMNICHANNEL</t>
  </si>
  <si>
    <t>In Progress</t>
  </si>
  <si>
    <t>API</t>
  </si>
  <si>
    <t>Done</t>
  </si>
  <si>
    <t>1.1.2</t>
  </si>
  <si>
    <t>Viết/ Chỉnh sửa TestCase</t>
  </si>
  <si>
    <t>1.1.3</t>
  </si>
  <si>
    <t>OmniLoanClosureDetails</t>
  </si>
  <si>
    <t>1.1.4</t>
  </si>
  <si>
    <t>OmniGetLoanPreClosure</t>
  </si>
  <si>
    <t>1.1.5</t>
  </si>
  <si>
    <t>OmniGetLoanOverdueDetails</t>
  </si>
  <si>
    <t>1.1.6</t>
  </si>
  <si>
    <t>OmniGetListEnrollERP</t>
  </si>
  <si>
    <t>1.1.7</t>
  </si>
  <si>
    <t>OmniEnrollERP</t>
  </si>
  <si>
    <t>MOBILE/WEB</t>
  </si>
  <si>
    <t>Lỗi chính tả: Có thể gây khó chịu cho người đọc, đôi khi lỗi chính tả làm ý nghĩa của câu bị khác đi, gây nhầm lẫn nghiêm trọng khi kiểm thử hoặc rất khó để hiểu.</t>
  </si>
  <si>
    <t>Lỗi ngữ pháp: Khi ngữ pháp không đúng thì test case có thể được hiểu sai, dẫn đến kết quả test bị sai.</t>
  </si>
  <si>
    <t>Template format: Việc không tuân theo format làm mất rất nhiều thời gian để chuẩn hóa, và không ngoài việc gây khó chịu cho người khác. Nên ngay từ đầu viết test case, chúng ta nên theo template chuẩn để dễ dàng thêm mới test case, chỉnh sửa. Thể hiện sự thống nhất giữa file test case.</t>
  </si>
  <si>
    <t>Tiêu chuẩn/hướng dẫn: Kiểm tra xem test case đã tuân theo đúng các tiêu chuẩn, hướng dẫn được đề ra không.</t>
  </si>
  <si>
    <t>Ngôn ngữ: Nhất quán ngôn ngữ được sử dụng, cách dùng từ đơn giản, ngắn gọn, dễ hiểu.</t>
  </si>
  <si>
    <t>Phạm vi chức năng: Test case phải đầy đủ, bao phủ hết theo tài liệu đặc tả, quan điểm người dùng. Tránh bỏ sót những case quan trọng. Đặc biệt chú ý phần test case cho những chức năng có liên quan đến nhau.</t>
  </si>
  <si>
    <t>Trùng lặp: Review để loại bỏ các test case trùng lặp nhau. Các item giống nhau có thể gộp lại thành 1 test case sẽ tiết kiệm thời gian viết, review test case, thực hiện test, report bug và file test case cũng ngắn gọn hơn.</t>
  </si>
  <si>
    <t>Dư thừa: Những test case không cần thiết, không hiệu quả trong việc phát hiện lỗi hoặc bị dư thừa do thay đổi yêu cầu spec cũng cần được lược bỏ đi. Đảm bảo rằng các test case được viết dựa trên môi trường và thiết bị cụ thể trong phạm vi dự án yêu cầu.</t>
  </si>
  <si>
    <t>Tính thống nhất: Kiểm tra xem cách viết test case có thống nhất từ trên xuống, giữa các file test case khác nhau, giữa các QA/tester cho phù hợp (nếu cần thiết).</t>
  </si>
  <si>
    <t>Test case ID: Đảm bảo mỗi test case phải có ID để dễ dàng theo dõi, quản lý.</t>
  </si>
  <si>
    <t>Kiểm tra xem test case đã đầy đủ, chính xác: mô tả mục đích chung, điều kiện tiên quyết, các bước tiến hành, kết quả mong đợi, dữ liệu kiểm thử.</t>
  </si>
  <si>
    <t>Đảm bảo test case có số bước thực hiện phù hợp, không nên quá nhiều bước. Cũng như test case không nên quá dài, chỉ nên tập trung vào những mục đích chính, tránh dài dòng, dàn trải.</t>
  </si>
  <si>
    <r>
      <rPr>
        <b/>
        <sz val="11"/>
        <color rgb="FF000000"/>
        <rFont val="Aptos Narrow"/>
        <family val="2"/>
      </rPr>
      <t>Mail Subject:</t>
    </r>
    <r>
      <rPr>
        <sz val="11"/>
        <color rgb="FF000000"/>
        <rFont val="Aptos Narrow"/>
        <family val="2"/>
      </rPr>
      <t xml:space="preserve"> Báo cáo tiến độ công việc QC ngày [Ngày/Tháng/Năm] - Dự án [Tên Dự Án]</t>
    </r>
  </si>
  <si>
    <r>
      <rPr>
        <b/>
        <sz val="11"/>
        <color rgb="FF000000"/>
        <rFont val="Aptos Narrow"/>
        <family val="2"/>
      </rPr>
      <t>Kính gửi:</t>
    </r>
    <r>
      <rPr>
        <sz val="11"/>
        <color rgb="FF000000"/>
        <rFont val="Aptos Narrow"/>
        <family val="2"/>
      </rPr>
      <t xml:space="preserve"> [Ban dự án hoặc nhóm liên quan]</t>
    </r>
  </si>
  <si>
    <t>Nội dung báo cáo:</t>
  </si>
  <si>
    <t>Trạng thái chung:</t>
  </si>
  <si>
    <t>[Mô tả ngắn gọn về tiến độ dự án: đúng tiến độ, chậm tiến độ, hoặc gặp vấn đề nào cần giải quyết ngay.]</t>
  </si>
  <si>
    <t>1. Công việc trong ngày:</t>
  </si>
  <si>
    <t>[Công việc 1]</t>
  </si>
  <si>
    <t>Tóm tắt công việc đã thực hiện trong ngày</t>
  </si>
  <si>
    <t>[Công việc 2]</t>
  </si>
  <si>
    <t>[Công việc 3]</t>
  </si>
  <si>
    <t>2. Kết quả đạt được:</t>
  </si>
  <si>
    <t>Sử dụng template phù hợp từng dự án</t>
  </si>
  <si>
    <t>Hạng mục</t>
  </si>
  <si>
    <t>Số lượng</t>
  </si>
  <si>
    <t>Chi tiết</t>
  </si>
  <si>
    <t>Chức năng</t>
  </si>
  <si>
    <t>Total</t>
  </si>
  <si>
    <t>iOS</t>
  </si>
  <si>
    <t>Android</t>
  </si>
  <si>
    <t>Web Admin</t>
  </si>
  <si>
    <t>Test case thực hiện</t>
  </si>
  <si>
    <t>[X/Y]</t>
  </si>
  <si>
    <t>[Số lượng test case đã chạy]</t>
  </si>
  <si>
    <t>Pass</t>
  </si>
  <si>
    <t>Fail</t>
  </si>
  <si>
    <t>N/A</t>
  </si>
  <si>
    <t>Bypass</t>
  </si>
  <si>
    <t>%TH/KH</t>
  </si>
  <si>
    <t>Số lỗi phát hiện</t>
  </si>
  <si>
    <t>[Z lỗi]</t>
  </si>
  <si>
    <t>[Liệt kê lỗi chính (nếu cần)]
 Số lỗi phát hiện | 15 | - Mức độ nghiêm trọng:
+ Critical: 2
+ High: 5
+ Medium: 6
+ Low: 2</t>
  </si>
  <si>
    <t>Chức năng 1</t>
  </si>
  <si>
    <t>Trạng thái xử lý lỗi</t>
  </si>
  <si>
    <t>[A lỗi đã fix, B lỗi chờ xử lý]</t>
  </si>
  <si>
    <t>[Chi tiết trạng thái lỗi]
- Lỗi liên quan đến: Đăng nhập, Thanh toán. |
| Lỗi đã xử lý | 10 lỗi đã fix | - Lỗi đã được Dev fix và QC xác nhận: 8.
- Đang chờ xác nhận: 2. |
| Lỗi chưa xử lý | 5 lỗi còn lại | - Lỗi đang được Dev xử lý: 3.
- Lỗi đang phân tích nguyên nhân: 2. |
| Tỷ lệ hoàn thành kiểm thử | 80% | - Tiến độ thực hiện kiểm thử: 80% test case hoàn thành. |</t>
  </si>
  <si>
    <t>Chức năng 2</t>
  </si>
  <si>
    <t>Chức năng 3</t>
  </si>
  <si>
    <t>3. Các vấn đề gặp phải:</t>
  </si>
  <si>
    <t>[Mô tả vấn đề 1, lý do, ảnh hưởng]</t>
  </si>
  <si>
    <t>[Mô tả vấn đề 2, giải pháp đề xuất (nếu có)]</t>
  </si>
  <si>
    <t>[Nội dung yêu cầu hỗ trợ]</t>
  </si>
  <si>
    <t>4. Kế hoạch tiếp theo:</t>
  </si>
  <si>
    <t>Testcase</t>
  </si>
  <si>
    <t>Passed</t>
  </si>
  <si>
    <t>Failed</t>
  </si>
  <si>
    <t>Pending</t>
  </si>
  <si>
    <t>Untested</t>
  </si>
  <si>
    <t>Number of Test cases</t>
  </si>
  <si>
    <t>Tiến độ</t>
  </si>
  <si>
    <t>Nhân sự phụ trách</t>
  </si>
  <si>
    <t>Tình trạng test case</t>
  </si>
  <si>
    <t>Function 1</t>
  </si>
  <si>
    <t>Function 2</t>
  </si>
  <si>
    <t>Function 3</t>
  </si>
  <si>
    <t>Function 4</t>
  </si>
  <si>
    <t>Function 5</t>
  </si>
  <si>
    <t>Tổng số test case</t>
  </si>
  <si>
    <t>% thực hiện</t>
  </si>
  <si>
    <t>Medium</t>
  </si>
  <si>
    <t>Open</t>
  </si>
  <si>
    <t>To Do</t>
  </si>
  <si>
    <t>High</t>
  </si>
  <si>
    <t>Close</t>
  </si>
  <si>
    <t>Low</t>
  </si>
  <si>
    <t>Fixing</t>
  </si>
  <si>
    <t>In Review</t>
  </si>
  <si>
    <t>Block</t>
  </si>
  <si>
    <t>Re-Test</t>
  </si>
  <si>
    <t>Doing</t>
  </si>
  <si>
    <t>Re-Open</t>
  </si>
  <si>
    <t>Not run</t>
  </si>
  <si>
    <t>UnTest</t>
  </si>
  <si>
    <t>Review</t>
  </si>
  <si>
    <t>Not-Issue</t>
  </si>
  <si>
    <t>Cancel</t>
  </si>
  <si>
    <t>ISSUE</t>
  </si>
  <si>
    <t>1</t>
  </si>
  <si>
    <t>implement nạp tiền</t>
  </si>
  <si>
    <t>Trung bình</t>
  </si>
  <si>
    <t>2</t>
  </si>
  <si>
    <t>Implements lien ket the</t>
  </si>
  <si>
    <t>Cao</t>
  </si>
  <si>
    <t>2.1</t>
  </si>
  <si>
    <t>android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</si>
</sst>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30" x14ac:knownFonts="1">
    <font>
      <sz val="11"/>
      <color theme="1"/>
      <name val="Aptos Narrow"/>
      <family val="2"/>
      <scheme val="minor"/>
    </font>
    <font>
      <sz val="10"/>
      <color rgb="FF000000"/>
      <name val="Arial"/>
      <family val="2"/>
    </font>
    <font>
      <sz val="11"/>
      <color theme="1"/>
      <name val="Aptos Narrow"/>
      <family val="2"/>
      <scheme val="minor"/>
    </font>
    <font>
      <u/>
      <sz val="11"/>
      <color theme="10"/>
      <name val="Aptos Narrow"/>
      <family val="2"/>
      <scheme val="minor"/>
    </font>
    <font>
      <sz val="12"/>
      <color theme="1"/>
      <name val="Calibri"/>
      <family val="2"/>
    </font>
    <font>
      <b/>
      <sz val="12"/>
      <color theme="1"/>
      <name val="Calibri"/>
      <family val="2"/>
    </font>
    <font>
      <sz val="12"/>
      <color rgb="FF000000"/>
      <name val="Calibri"/>
      <family val="2"/>
    </font>
    <font>
      <sz val="12"/>
      <name val="Calibri"/>
      <family val="2"/>
    </font>
    <font>
      <b/>
      <sz val="12"/>
      <color rgb="FF000000"/>
      <name val="Calibri"/>
      <family val="2"/>
    </font>
    <font>
      <sz val="12"/>
      <color rgb="FF000000"/>
      <name val="Aptos Narrow"/>
      <family val="2"/>
    </font>
    <font>
      <sz val="11"/>
      <color theme="0"/>
      <name val="Arial"/>
      <family val="2"/>
    </font>
    <font>
      <b/>
      <sz val="10"/>
      <color theme="0"/>
      <name val="Times New Roman"/>
      <family val="1"/>
    </font>
    <font>
      <sz val="10"/>
      <color theme="1"/>
      <name val="Times New Roman"/>
      <family val="1"/>
    </font>
    <font>
      <b/>
      <sz val="10"/>
      <color rgb="FF1F3864"/>
      <name val="Times New Roman"/>
      <family val="1"/>
    </font>
    <font>
      <b/>
      <sz val="10"/>
      <color rgb="FF2E75B5"/>
      <name val="Times New Roman"/>
      <family val="1"/>
    </font>
    <font>
      <b/>
      <sz val="10"/>
      <color rgb="FF000000"/>
      <name val="Times New Roman"/>
      <family val="1"/>
    </font>
    <font>
      <sz val="10"/>
      <color rgb="FF1F3864"/>
      <name val="Times New Roman"/>
      <family val="1"/>
    </font>
    <font>
      <b/>
      <sz val="10"/>
      <color theme="1"/>
      <name val="Times New Roman"/>
      <family val="1"/>
    </font>
    <font>
      <sz val="10"/>
      <color rgb="FF000000"/>
      <name val="Times New Roman"/>
      <family val="1"/>
    </font>
    <font>
      <sz val="10"/>
      <name val="Times New Roman"/>
      <family val="1"/>
    </font>
    <font>
      <b/>
      <sz val="11"/>
      <color theme="1"/>
      <name val="Aptos Narrow"/>
      <family val="2"/>
      <scheme val="minor"/>
    </font>
    <font>
      <sz val="10"/>
      <color theme="1"/>
      <name val="Times New Roman"/>
      <family val="1"/>
    </font>
    <font>
      <sz val="11"/>
      <color rgb="FF000000"/>
      <name val="Times New Roman"/>
      <family val="1"/>
    </font>
    <font>
      <b/>
      <sz val="11"/>
      <color rgb="FF000000"/>
      <name val="Times New Roman"/>
      <family val="1"/>
    </font>
    <font>
      <b/>
      <sz val="11"/>
      <color rgb="FF000000"/>
      <name val="Aptos Narrow"/>
      <family val="2"/>
    </font>
    <font>
      <sz val="11"/>
      <color rgb="FF000000"/>
      <name val="Aptos Narrow"/>
      <family val="2"/>
    </font>
    <font>
      <sz val="8"/>
      <name val="Aptos Narrow"/>
      <family val="2"/>
      <scheme val="minor"/>
    </font>
    <font>
      <sz val="12"/>
      <color rgb="FF212529"/>
      <name val="Roboto"/>
      <family val="2"/>
      <charset val="1"/>
    </font>
    <font>
      <sz val="11"/>
      <color theme="1"/>
      <name val="Aptos Narrow"/>
      <family val="2"/>
      <scheme val="minor"/>
    </font>
    <font>
      <sz val="13"/>
      <color rgb="FF000000"/>
      <name val="Times New Roman"/>
      <family val="1"/>
    </font>
  </fonts>
  <fills count="12">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5" tint="0.79998168889431442"/>
        <bgColor indexed="64"/>
      </patternFill>
    </fill>
    <fill>
      <patternFill patternType="solid">
        <fgColor rgb="FFFFD966"/>
        <bgColor rgb="FF000000"/>
      </patternFill>
    </fill>
    <fill>
      <patternFill patternType="solid">
        <fgColor rgb="FF70AD47"/>
        <bgColor rgb="FF000000"/>
      </patternFill>
    </fill>
    <fill>
      <patternFill patternType="solid">
        <fgColor rgb="FFA6C9EC"/>
        <bgColor rgb="FF000000"/>
      </patternFill>
    </fill>
    <fill>
      <patternFill patternType="solid">
        <fgColor rgb="FFF4B084"/>
        <bgColor rgb="FF000000"/>
      </patternFill>
    </fill>
    <fill>
      <patternFill patternType="solid">
        <fgColor theme="0"/>
        <bgColor rgb="FF000000"/>
      </patternFill>
    </fill>
    <fill>
      <patternFill patternType="solid">
        <fgColor rgb="FFFFFFFF"/>
        <bgColor indexed="64"/>
      </patternFill>
    </fill>
    <fill>
      <patternFill patternType="solid">
        <fgColor theme="9" tint="0.79998168889431442"/>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theme="0" tint="-0.14996795556505021"/>
      </top>
      <bottom style="medium">
        <color theme="0" tint="-0.14996795556505021"/>
      </bottom>
      <diagonal/>
    </border>
    <border>
      <left/>
      <right style="thin">
        <color theme="1" tint="0.499984740745262"/>
      </right>
      <top style="thin">
        <color theme="1" tint="0.499984740745262"/>
      </top>
      <bottom style="thin">
        <color theme="1" tint="0.499984740745262"/>
      </bottom>
      <diagonal/>
    </border>
  </borders>
  <cellStyleXfs count="5">
    <xf numFmtId="0" fontId="0" fillId="0" borderId="0"/>
    <xf numFmtId="0" fontId="1" fillId="0" borderId="0"/>
    <xf numFmtId="9" fontId="2" fillId="0" borderId="0" applyFont="0" applyFill="0" applyBorder="0" applyAlignment="0" applyProtection="0"/>
    <xf numFmtId="0" fontId="3" fillId="0" borderId="0" applyNumberFormat="0" applyFill="0" applyBorder="0" applyAlignment="0" applyProtection="0"/>
    <xf numFmtId="0" fontId="28" fillId="0" borderId="5" applyFill="0">
      <alignment horizontal="left" vertical="center" indent="2"/>
    </xf>
  </cellStyleXfs>
  <cellXfs count="70">
    <xf numFmtId="0" fontId="0" fillId="0" borderId="0" xfId="0"/>
    <xf numFmtId="0" fontId="0" fillId="0" borderId="1" xfId="0" applyBorder="1"/>
    <xf numFmtId="0" fontId="3" fillId="0" borderId="1" xfId="3" applyBorder="1" applyAlignment="1">
      <alignment vertical="top"/>
    </xf>
    <xf numFmtId="0" fontId="5" fillId="0" borderId="1" xfId="0" applyFont="1" applyBorder="1" applyAlignment="1">
      <alignment vertical="top"/>
    </xf>
    <xf numFmtId="0" fontId="4" fillId="0" borderId="1" xfId="0" applyFont="1" applyBorder="1" applyAlignment="1">
      <alignment vertical="top"/>
    </xf>
    <xf numFmtId="0" fontId="0" fillId="0" borderId="0" xfId="0" applyAlignment="1">
      <alignment vertical="center"/>
    </xf>
    <xf numFmtId="0" fontId="10" fillId="3" borderId="1" xfId="0" applyFont="1" applyFill="1" applyBorder="1" applyAlignment="1">
      <alignment horizontal="center" vertical="center"/>
    </xf>
    <xf numFmtId="0" fontId="10" fillId="3" borderId="1" xfId="0" applyFont="1" applyFill="1" applyBorder="1" applyAlignment="1">
      <alignment horizontal="center" vertical="center" wrapText="1"/>
    </xf>
    <xf numFmtId="0" fontId="4" fillId="0" borderId="1" xfId="0" applyFont="1" applyBorder="1" applyAlignment="1">
      <alignment horizontal="center" vertical="top"/>
    </xf>
    <xf numFmtId="9" fontId="5" fillId="2" borderId="1" xfId="2" applyFont="1" applyFill="1" applyBorder="1" applyAlignment="1">
      <alignment horizontal="center" vertical="top"/>
    </xf>
    <xf numFmtId="0" fontId="5" fillId="0" borderId="1" xfId="0" applyFont="1" applyBorder="1" applyAlignment="1">
      <alignment horizontal="center" vertical="top"/>
    </xf>
    <xf numFmtId="9" fontId="4" fillId="0" borderId="1" xfId="2" applyFont="1" applyBorder="1" applyAlignment="1">
      <alignment horizontal="center" vertical="top"/>
    </xf>
    <xf numFmtId="9" fontId="5" fillId="0" borderId="1" xfId="2" applyFont="1" applyBorder="1" applyAlignment="1">
      <alignment horizontal="center" vertical="top"/>
    </xf>
    <xf numFmtId="0" fontId="7" fillId="0" borderId="1" xfId="0" applyFont="1" applyBorder="1" applyAlignment="1">
      <alignment horizontal="left" vertical="top" wrapText="1"/>
    </xf>
    <xf numFmtId="0" fontId="9" fillId="2" borderId="1" xfId="0" applyFont="1" applyFill="1" applyBorder="1" applyAlignment="1">
      <alignment horizontal="left" vertical="top" wrapText="1"/>
    </xf>
    <xf numFmtId="0" fontId="6" fillId="2" borderId="1" xfId="0" applyFont="1" applyFill="1" applyBorder="1" applyAlignment="1">
      <alignment horizontal="left" vertical="top" wrapText="1"/>
    </xf>
    <xf numFmtId="0" fontId="5" fillId="2"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4" fillId="0" borderId="1" xfId="0" applyFont="1" applyBorder="1" applyAlignment="1">
      <alignment horizontal="left" vertical="top"/>
    </xf>
    <xf numFmtId="0" fontId="11" fillId="3" borderId="2" xfId="0" applyFont="1" applyFill="1" applyBorder="1" applyAlignment="1">
      <alignment horizontal="left" vertical="center" wrapText="1"/>
    </xf>
    <xf numFmtId="0" fontId="11" fillId="3" borderId="2" xfId="0" applyFont="1" applyFill="1" applyBorder="1" applyAlignment="1">
      <alignment horizontal="center" vertical="center" wrapText="1"/>
    </xf>
    <xf numFmtId="164" fontId="11" fillId="3" borderId="2" xfId="0" applyNumberFormat="1" applyFont="1" applyFill="1" applyBorder="1" applyAlignment="1">
      <alignment horizontal="center" vertical="center" wrapText="1"/>
    </xf>
    <xf numFmtId="0" fontId="12" fillId="0" borderId="0" xfId="0" applyFont="1" applyAlignment="1">
      <alignment vertical="center" wrapText="1"/>
    </xf>
    <xf numFmtId="0" fontId="13" fillId="4" borderId="2" xfId="0" applyFont="1" applyFill="1" applyBorder="1" applyAlignment="1">
      <alignment horizontal="left" vertical="center" wrapText="1"/>
    </xf>
    <xf numFmtId="0" fontId="14" fillId="4" borderId="2" xfId="0" applyFont="1" applyFill="1" applyBorder="1" applyAlignment="1">
      <alignment vertical="center" wrapText="1"/>
    </xf>
    <xf numFmtId="0" fontId="14" fillId="4" borderId="2" xfId="0" applyFont="1" applyFill="1" applyBorder="1" applyAlignment="1">
      <alignment horizontal="left" vertical="center" wrapText="1"/>
    </xf>
    <xf numFmtId="9" fontId="13" fillId="4" borderId="2" xfId="0" applyNumberFormat="1" applyFont="1" applyFill="1" applyBorder="1" applyAlignment="1">
      <alignment vertical="center" wrapText="1"/>
    </xf>
    <xf numFmtId="164" fontId="15" fillId="4" borderId="2" xfId="0" applyNumberFormat="1" applyFont="1" applyFill="1" applyBorder="1" applyAlignment="1">
      <alignment horizontal="center" vertical="center" wrapText="1"/>
    </xf>
    <xf numFmtId="0" fontId="13" fillId="4" borderId="2" xfId="0" applyFont="1" applyFill="1" applyBorder="1" applyAlignment="1">
      <alignment vertical="center" wrapText="1"/>
    </xf>
    <xf numFmtId="0" fontId="12" fillId="4" borderId="2" xfId="0" applyFont="1" applyFill="1" applyBorder="1" applyAlignment="1">
      <alignment vertical="center" wrapText="1"/>
    </xf>
    <xf numFmtId="0" fontId="16" fillId="2" borderId="2" xfId="0" applyFont="1" applyFill="1" applyBorder="1" applyAlignment="1">
      <alignment horizontal="left" vertical="center" wrapText="1"/>
    </xf>
    <xf numFmtId="0" fontId="17" fillId="2" borderId="2" xfId="0" applyFont="1" applyFill="1" applyBorder="1" applyAlignment="1">
      <alignment horizontal="left" vertical="center" wrapText="1" indent="1"/>
    </xf>
    <xf numFmtId="0" fontId="12" fillId="2" borderId="2" xfId="0" applyFont="1" applyFill="1" applyBorder="1" applyAlignment="1">
      <alignment vertical="center" wrapText="1"/>
    </xf>
    <xf numFmtId="0" fontId="11" fillId="2" borderId="2" xfId="0" applyFont="1" applyFill="1" applyBorder="1" applyAlignment="1">
      <alignment vertical="center" wrapText="1"/>
    </xf>
    <xf numFmtId="9" fontId="16" fillId="2" borderId="2" xfId="0" applyNumberFormat="1" applyFont="1" applyFill="1" applyBorder="1" applyAlignment="1">
      <alignment vertical="center" wrapText="1"/>
    </xf>
    <xf numFmtId="164" fontId="18" fillId="2" borderId="2" xfId="0" applyNumberFormat="1" applyFont="1" applyFill="1" applyBorder="1" applyAlignment="1">
      <alignment horizontal="center" vertical="center" wrapText="1"/>
    </xf>
    <xf numFmtId="0" fontId="16" fillId="2" borderId="2" xfId="0" applyFont="1" applyFill="1" applyBorder="1" applyAlignment="1">
      <alignment vertical="center" wrapText="1"/>
    </xf>
    <xf numFmtId="0" fontId="12" fillId="0" borderId="2" xfId="0" applyFont="1" applyBorder="1" applyAlignment="1">
      <alignment vertical="center" wrapText="1"/>
    </xf>
    <xf numFmtId="0" fontId="12" fillId="2" borderId="2" xfId="0" applyFont="1" applyFill="1" applyBorder="1" applyAlignment="1">
      <alignment horizontal="left" vertical="center" wrapText="1"/>
    </xf>
    <xf numFmtId="0" fontId="12" fillId="2" borderId="2" xfId="0" applyFont="1" applyFill="1" applyBorder="1" applyAlignment="1">
      <alignment horizontal="left" vertical="center" wrapText="1" indent="3"/>
    </xf>
    <xf numFmtId="0" fontId="12" fillId="0" borderId="2" xfId="0" applyFont="1" applyBorder="1" applyAlignment="1">
      <alignment horizontal="left" vertical="center" wrapText="1"/>
    </xf>
    <xf numFmtId="0" fontId="12" fillId="0" borderId="0" xfId="0" applyFont="1" applyAlignment="1">
      <alignment horizontal="left" vertical="center" wrapText="1"/>
    </xf>
    <xf numFmtId="0" fontId="19" fillId="2" borderId="2" xfId="0" applyFont="1" applyFill="1" applyBorder="1" applyAlignment="1">
      <alignment vertical="center" wrapText="1"/>
    </xf>
    <xf numFmtId="0" fontId="21" fillId="0" borderId="0" xfId="0" applyFont="1"/>
    <xf numFmtId="0" fontId="20" fillId="0" borderId="0" xfId="0" applyFont="1"/>
    <xf numFmtId="0" fontId="0" fillId="0" borderId="0" xfId="0" applyAlignment="1">
      <alignment horizontal="left" vertical="center" indent="1"/>
    </xf>
    <xf numFmtId="0" fontId="20" fillId="0" borderId="0" xfId="0" applyFont="1" applyAlignment="1">
      <alignment horizontal="left" vertical="center" indent="1"/>
    </xf>
    <xf numFmtId="0" fontId="0" fillId="0" borderId="0" xfId="0" applyAlignment="1">
      <alignment horizontal="left" vertical="center" indent="2"/>
    </xf>
    <xf numFmtId="0" fontId="20" fillId="0" borderId="2" xfId="0" applyFont="1" applyBorder="1" applyAlignment="1">
      <alignment horizontal="center" vertical="center" wrapText="1"/>
    </xf>
    <xf numFmtId="0" fontId="0" fillId="0" borderId="2" xfId="0" applyBorder="1" applyAlignment="1">
      <alignment vertical="center" wrapText="1"/>
    </xf>
    <xf numFmtId="0" fontId="22" fillId="2" borderId="0" xfId="0" applyFont="1" applyFill="1"/>
    <xf numFmtId="0" fontId="23" fillId="9" borderId="0" xfId="0" applyFont="1" applyFill="1" applyAlignment="1">
      <alignment wrapText="1"/>
    </xf>
    <xf numFmtId="0" fontId="22" fillId="9" borderId="0" xfId="0" applyFont="1" applyFill="1" applyAlignment="1">
      <alignment horizontal="center"/>
    </xf>
    <xf numFmtId="0" fontId="22" fillId="9" borderId="0" xfId="0" applyFont="1" applyFill="1"/>
    <xf numFmtId="0" fontId="22" fillId="9" borderId="0" xfId="0" applyFont="1" applyFill="1" applyAlignment="1">
      <alignment horizontal="center" vertical="center"/>
    </xf>
    <xf numFmtId="0" fontId="0" fillId="2" borderId="0" xfId="0" applyFill="1"/>
    <xf numFmtId="0" fontId="22" fillId="0" borderId="2" xfId="0" applyFont="1" applyBorder="1"/>
    <xf numFmtId="0" fontId="23" fillId="8" borderId="2" xfId="0" applyFont="1" applyFill="1" applyBorder="1" applyAlignment="1">
      <alignment wrapText="1"/>
    </xf>
    <xf numFmtId="0" fontId="24" fillId="0" borderId="0" xfId="0" applyFont="1"/>
    <xf numFmtId="0" fontId="12" fillId="2" borderId="0" xfId="0" applyFont="1" applyFill="1" applyAlignment="1">
      <alignment vertical="center"/>
    </xf>
    <xf numFmtId="0" fontId="12" fillId="0" borderId="0" xfId="0" applyFont="1"/>
    <xf numFmtId="0" fontId="27" fillId="10" borderId="1" xfId="0" applyFont="1" applyFill="1" applyBorder="1" applyAlignment="1">
      <alignment wrapText="1"/>
    </xf>
    <xf numFmtId="0" fontId="29" fillId="11" borderId="6" xfId="4" applyFont="1" applyFill="1" applyBorder="1" applyAlignment="1">
      <alignment horizontal="left" vertical="center" wrapText="1" indent="2"/>
    </xf>
    <xf numFmtId="0" fontId="22" fillId="5" borderId="2" xfId="0" applyFont="1" applyFill="1" applyBorder="1" applyAlignment="1">
      <alignment horizontal="center"/>
    </xf>
    <xf numFmtId="0" fontId="22" fillId="6" borderId="2" xfId="0" applyFont="1" applyFill="1" applyBorder="1"/>
    <xf numFmtId="0" fontId="22" fillId="7" borderId="2" xfId="0" applyFont="1" applyFill="1" applyBorder="1" applyAlignment="1">
      <alignment horizontal="center" vertical="center"/>
    </xf>
    <xf numFmtId="0" fontId="23" fillId="0" borderId="3" xfId="0" applyFont="1" applyBorder="1" applyAlignment="1">
      <alignment horizontal="center"/>
    </xf>
    <xf numFmtId="0" fontId="23" fillId="0" borderId="4" xfId="0" applyFont="1" applyBorder="1" applyAlignment="1">
      <alignment horizontal="center"/>
    </xf>
    <xf numFmtId="0" fontId="23" fillId="8" borderId="3" xfId="0" applyFont="1" applyFill="1" applyBorder="1" applyAlignment="1">
      <alignment horizontal="center" wrapText="1"/>
    </xf>
    <xf numFmtId="0" fontId="23" fillId="8" borderId="4" xfId="0" applyFont="1" applyFill="1" applyBorder="1" applyAlignment="1">
      <alignment horizontal="center" wrapText="1"/>
    </xf>
  </cellXfs>
  <cellStyles count="5">
    <cellStyle name="Bình thường 2 2" xfId="1" xr:uid="{DEDF1557-6D45-415B-ABE3-C8BF0F5A7444}"/>
    <cellStyle name="Hyperlink" xfId="3" builtinId="8"/>
    <cellStyle name="Normal" xfId="0" builtinId="0"/>
    <cellStyle name="Percent" xfId="2" builtinId="5"/>
    <cellStyle name="Task" xfId="4" xr:uid="{D91E90EC-B2B1-4013-A466-CE4BDD2A815C}"/>
  </cellStyles>
  <dxfs count="4">
    <dxf>
      <font>
        <color rgb="FF006100"/>
      </font>
      <fill>
        <patternFill>
          <bgColor rgb="FFC6EFCE"/>
        </patternFill>
      </fill>
    </dxf>
    <dxf>
      <font>
        <color rgb="FF9C5700"/>
      </font>
      <fill>
        <patternFill>
          <bgColor rgb="FFFFEB9C"/>
        </patternFill>
      </fill>
    </dxf>
    <dxf>
      <font>
        <color theme="4" tint="-0.249977111117893"/>
      </font>
      <fill>
        <patternFill patternType="solid">
          <bgColor theme="3" tint="0.749992370372631"/>
        </patternFill>
      </fill>
    </dxf>
    <dxf>
      <fill>
        <patternFill>
          <fgColor rgb="FFFF000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113600</xdr:colOff>
      <xdr:row>40</xdr:row>
      <xdr:rowOff>84762</xdr:rowOff>
    </xdr:to>
    <xdr:pic>
      <xdr:nvPicPr>
        <xdr:cNvPr id="2" name="Picture 1">
          <a:extLst>
            <a:ext uri="{FF2B5EF4-FFF2-40B4-BE49-F238E27FC236}">
              <a16:creationId xmlns:a16="http://schemas.microsoft.com/office/drawing/2014/main" id="{B85A1862-490F-3BC2-E3C0-9EF934AF9D4C}"/>
            </a:ext>
          </a:extLst>
        </xdr:cNvPr>
        <xdr:cNvPicPr>
          <a:picLocks noChangeAspect="1"/>
        </xdr:cNvPicPr>
      </xdr:nvPicPr>
      <xdr:blipFill>
        <a:blip xmlns:r="http://schemas.openxmlformats.org/officeDocument/2006/relationships" r:embed="rId1"/>
        <a:stretch>
          <a:fillRect/>
        </a:stretch>
      </xdr:blipFill>
      <xdr:spPr>
        <a:xfrm>
          <a:off x="0" y="0"/>
          <a:ext cx="5600000" cy="7704762"/>
        </a:xfrm>
        <a:prstGeom prst="rect">
          <a:avLst/>
        </a:prstGeom>
      </xdr:spPr>
    </xdr:pic>
    <xdr:clientData/>
  </xdr:twoCellAnchor>
  <xdr:twoCellAnchor editAs="oneCell">
    <xdr:from>
      <xdr:col>10</xdr:col>
      <xdr:colOff>0</xdr:colOff>
      <xdr:row>0</xdr:row>
      <xdr:rowOff>0</xdr:rowOff>
    </xdr:from>
    <xdr:to>
      <xdr:col>28</xdr:col>
      <xdr:colOff>389105</xdr:colOff>
      <xdr:row>34</xdr:row>
      <xdr:rowOff>84905</xdr:rowOff>
    </xdr:to>
    <xdr:pic>
      <xdr:nvPicPr>
        <xdr:cNvPr id="3" name="Picture 2">
          <a:extLst>
            <a:ext uri="{FF2B5EF4-FFF2-40B4-BE49-F238E27FC236}">
              <a16:creationId xmlns:a16="http://schemas.microsoft.com/office/drawing/2014/main" id="{D2A2F5A8-EEA7-75AD-0557-16D70E4087BD}"/>
            </a:ext>
          </a:extLst>
        </xdr:cNvPr>
        <xdr:cNvPicPr>
          <a:picLocks noChangeAspect="1"/>
        </xdr:cNvPicPr>
      </xdr:nvPicPr>
      <xdr:blipFill>
        <a:blip xmlns:r="http://schemas.openxmlformats.org/officeDocument/2006/relationships" r:embed="rId2"/>
        <a:stretch>
          <a:fillRect/>
        </a:stretch>
      </xdr:blipFill>
      <xdr:spPr>
        <a:xfrm>
          <a:off x="6096000" y="0"/>
          <a:ext cx="11361905" cy="6561905"/>
        </a:xfrm>
        <a:prstGeom prst="rect">
          <a:avLst/>
        </a:prstGeom>
      </xdr:spPr>
    </xdr:pic>
    <xdr:clientData/>
  </xdr:twoCellAnchor>
  <xdr:twoCellAnchor editAs="oneCell">
    <xdr:from>
      <xdr:col>10</xdr:col>
      <xdr:colOff>0</xdr:colOff>
      <xdr:row>37</xdr:row>
      <xdr:rowOff>0</xdr:rowOff>
    </xdr:from>
    <xdr:to>
      <xdr:col>28</xdr:col>
      <xdr:colOff>312914</xdr:colOff>
      <xdr:row>61</xdr:row>
      <xdr:rowOff>151809</xdr:rowOff>
    </xdr:to>
    <xdr:pic>
      <xdr:nvPicPr>
        <xdr:cNvPr id="4" name="Picture 3">
          <a:extLst>
            <a:ext uri="{FF2B5EF4-FFF2-40B4-BE49-F238E27FC236}">
              <a16:creationId xmlns:a16="http://schemas.microsoft.com/office/drawing/2014/main" id="{03228BA0-EA31-63EC-B327-317D3DFDB212}"/>
            </a:ext>
          </a:extLst>
        </xdr:cNvPr>
        <xdr:cNvPicPr>
          <a:picLocks noChangeAspect="1"/>
        </xdr:cNvPicPr>
      </xdr:nvPicPr>
      <xdr:blipFill>
        <a:blip xmlns:r="http://schemas.openxmlformats.org/officeDocument/2006/relationships" r:embed="rId3"/>
        <a:stretch>
          <a:fillRect/>
        </a:stretch>
      </xdr:blipFill>
      <xdr:spPr>
        <a:xfrm>
          <a:off x="6096000" y="7048500"/>
          <a:ext cx="11285714" cy="4723809"/>
        </a:xfrm>
        <a:prstGeom prst="rect">
          <a:avLst/>
        </a:prstGeom>
      </xdr:spPr>
    </xdr:pic>
    <xdr:clientData/>
  </xdr:twoCellAnchor>
  <xdr:twoCellAnchor editAs="oneCell">
    <xdr:from>
      <xdr:col>0</xdr:col>
      <xdr:colOff>0</xdr:colOff>
      <xdr:row>41</xdr:row>
      <xdr:rowOff>0</xdr:rowOff>
    </xdr:from>
    <xdr:to>
      <xdr:col>9</xdr:col>
      <xdr:colOff>18362</xdr:colOff>
      <xdr:row>79</xdr:row>
      <xdr:rowOff>141952</xdr:rowOff>
    </xdr:to>
    <xdr:pic>
      <xdr:nvPicPr>
        <xdr:cNvPr id="5" name="Picture 4">
          <a:extLst>
            <a:ext uri="{FF2B5EF4-FFF2-40B4-BE49-F238E27FC236}">
              <a16:creationId xmlns:a16="http://schemas.microsoft.com/office/drawing/2014/main" id="{8AA1F002-5AE3-2FF8-E508-96306F6DF6DA}"/>
            </a:ext>
          </a:extLst>
        </xdr:cNvPr>
        <xdr:cNvPicPr>
          <a:picLocks noChangeAspect="1"/>
        </xdr:cNvPicPr>
      </xdr:nvPicPr>
      <xdr:blipFill>
        <a:blip xmlns:r="http://schemas.openxmlformats.org/officeDocument/2006/relationships" r:embed="rId4"/>
        <a:stretch>
          <a:fillRect/>
        </a:stretch>
      </xdr:blipFill>
      <xdr:spPr>
        <a:xfrm>
          <a:off x="0" y="7810500"/>
          <a:ext cx="5504762" cy="738095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0ABBB-A333-4B32-A8E8-D2CE44EB3FF2}">
  <dimension ref="A1:L4"/>
  <sheetViews>
    <sheetView tabSelected="1" workbookViewId="0">
      <selection activeCell="N5" sqref="N5"/>
    </sheetView>
  </sheetViews>
  <sheetFormatPr defaultRowHeight="12.75" outlineLevelRow="1" x14ac:dyDescent="0.25"/>
  <cols>
    <col min="1" max="1" width="5.85546875" style="41" bestFit="1" customWidth="1"/>
    <col min="2" max="2" width="40.42578125" style="22" customWidth="1"/>
    <col min="3" max="3" width="13.140625" style="22" bestFit="1" customWidth="1"/>
    <col min="4" max="4" width="10.28515625" style="22" bestFit="1" customWidth="1"/>
    <col min="5" max="5" width="15.28515625" style="22" customWidth="1"/>
    <col min="6" max="6" width="11.42578125" style="22" customWidth="1"/>
    <col min="7" max="7" width="11.7109375" style="22" bestFit="1" customWidth="1"/>
    <col min="8" max="8" width="8.85546875" style="22" bestFit="1" customWidth="1"/>
    <col min="9" max="9" width="7.5703125" style="22" bestFit="1" customWidth="1"/>
    <col min="10" max="10" width="41" style="22" bestFit="1" customWidth="1"/>
    <col min="11" max="11" width="36.5703125" style="22" customWidth="1"/>
    <col min="12" max="12" width="11.5703125" style="22" bestFit="1" customWidth="1"/>
    <col min="13" max="16384" width="9.140625" style="22"/>
  </cols>
  <sheetData>
    <row r="1" spans="1:12" ht="25.5" x14ac:dyDescent="0.25">
      <c r="A1" s="19" t="s">
        <v>0</v>
      </c>
      <c r="B1" s="20" t="s">
        <v>1</v>
      </c>
      <c r="C1" s="20" t="s">
        <v>2</v>
      </c>
      <c r="D1" s="20" t="s">
        <v>3</v>
      </c>
      <c r="E1" s="20" t="s">
        <v>4</v>
      </c>
      <c r="F1" s="21" t="s">
        <v>5</v>
      </c>
      <c r="G1" s="21" t="s">
        <v>6</v>
      </c>
      <c r="H1" s="20" t="s">
        <v>7</v>
      </c>
      <c r="I1" s="20" t="s">
        <v>8</v>
      </c>
      <c r="J1" s="20" t="s">
        <v>9</v>
      </c>
      <c r="K1" s="20" t="s">
        <v>114</v>
      </c>
      <c r="L1" s="20" t="s">
        <v>123</v>
      </c>
    </row>
    <row r="2">
      <c r="A2" s="23" t="s">
        <v>115</v>
      </c>
      <c r="B2" s="24" t="s">
        <v>116</v>
      </c>
      <c r="C2" s="25"/>
      <c r="D2" s="40" t="s">
        <v>97</v>
      </c>
      <c r="E2" s="26">
        <v>0</v>
      </c>
      <c r="F2" s="27">
        <v>46161.041666666664</v>
      </c>
      <c r="G2" s="27">
        <v>46162.4375</v>
      </c>
      <c r="H2" s="28">
        <v>16</v>
      </c>
      <c r="I2" s="28"/>
      <c r="J2" s="29" t="s">
        <v>116</v>
      </c>
      <c r="K2" s="29"/>
      <c r="L2" s="29" t="s">
        <v>117</v>
      </c>
    </row>
    <row r="3">
      <c r="A3" s="23" t="s">
        <v>118</v>
      </c>
      <c r="B3" s="24" t="s">
        <v>119</v>
      </c>
      <c r="C3" s="25"/>
      <c r="D3" s="42" t="s">
        <v>11</v>
      </c>
      <c r="E3" s="26">
        <v>0.5</v>
      </c>
      <c r="F3" s="27">
        <v>46160.729166666664</v>
      </c>
      <c r="G3" s="27">
        <v>46160.850694444445</v>
      </c>
      <c r="H3" s="28">
        <v>4</v>
      </c>
      <c r="I3" s="28"/>
      <c r="J3" s="29" t="s">
        <v>119</v>
      </c>
      <c r="K3" s="29"/>
      <c r="L3" s="29" t="s">
        <v>120</v>
      </c>
    </row>
    <row r="4">
      <c r="A4" s="30" t="s">
        <v>121</v>
      </c>
      <c r="B4" s="31" t="s">
        <v>122</v>
      </c>
      <c r="C4" s="25"/>
      <c r="D4" s="42" t="s">
        <v>11</v>
      </c>
      <c r="E4" s="26">
        <v>0.5</v>
      </c>
      <c r="F4" s="27"/>
      <c r="G4" s="27"/>
      <c r="H4" s="28"/>
      <c r="I4" s="28"/>
      <c r="J4" s="29"/>
      <c r="K4" s="29"/>
      <c r="L4" s="29"/>
    </row>
  </sheetData>
  <phoneticPr fontId="26" type="noConversion"/>
  <conditionalFormatting sqref="D1:D1048576">
    <cfRule type="cellIs" dxfId="3" priority="1" operator="equal">
      <formula>"Pending"</formula>
    </cfRule>
    <cfRule type="cellIs" priority="2" operator="equal">
      <formula>"To Do"</formula>
    </cfRule>
    <cfRule type="containsText" dxfId="2" priority="8" operator="containsText" text="In Progress">
      <formula>NOT(ISERROR(SEARCH("In Progress",D1)))</formula>
    </cfRule>
    <cfRule type="containsText" dxfId="1" priority="9" operator="containsText" text="Pending">
      <formula>NOT(ISERROR(SEARCH("Pending",D1)))</formula>
    </cfRule>
    <cfRule type="containsText" dxfId="0" priority="10" operator="containsText" text="Done">
      <formula>NOT(ISERROR(SEARCH("Done",D1)))</formula>
    </cfRule>
  </conditionalFormatting>
  <conditionalFormatting sqref="E1">
    <cfRule type="dataBar" priority="20">
      <dataBar>
        <cfvo type="min"/>
        <cfvo type="max"/>
        <color rgb="FF638EC6"/>
      </dataBar>
      <extLst>
        <ext xmlns:x14="http://schemas.microsoft.com/office/spreadsheetml/2009/9/main" uri="{B025F937-C7B1-47D3-B67F-A62EFF666E3E}">
          <x14:id>{ACB0C52E-E9C4-4E67-9130-E8396C657FCD}</x14:id>
        </ext>
      </extLst>
    </cfRule>
    <cfRule type="dataBar" priority="21">
      <dataBar>
        <cfvo type="min"/>
        <cfvo type="max"/>
        <color rgb="FF008AEF"/>
      </dataBar>
      <extLst>
        <ext xmlns:x14="http://schemas.microsoft.com/office/spreadsheetml/2009/9/main" uri="{B025F937-C7B1-47D3-B67F-A62EFF666E3E}">
          <x14:id>{C4E8331A-2334-4338-A185-4AB10F643994}</x14:id>
        </ext>
      </extLst>
    </cfRule>
    <cfRule type="dataBar" priority="22">
      <dataBar>
        <cfvo type="min"/>
        <cfvo type="max"/>
        <color rgb="FF63C384"/>
      </dataBar>
      <extLst>
        <ext xmlns:x14="http://schemas.microsoft.com/office/spreadsheetml/2009/9/main" uri="{B025F937-C7B1-47D3-B67F-A62EFF666E3E}">
          <x14:id>{15291FFA-D9CB-46FD-B656-392F6CC42731}</x14:id>
        </ext>
      </extLst>
    </cfRule>
    <cfRule type="dataBar" priority="23">
      <dataBar>
        <cfvo type="min"/>
        <cfvo type="max"/>
        <color rgb="FFFF555A"/>
      </dataBar>
      <extLst>
        <ext xmlns:x14="http://schemas.microsoft.com/office/spreadsheetml/2009/9/main" uri="{B025F937-C7B1-47D3-B67F-A62EFF666E3E}">
          <x14:id>{0B06D3C3-1B5D-4FA5-AD88-1D43A3F12834}</x14:id>
        </ext>
      </extLst>
    </cfRule>
    <cfRule type="dataBar" priority="24">
      <dataBar>
        <cfvo type="min"/>
        <cfvo type="max"/>
        <color rgb="FF008AEF"/>
      </dataBar>
      <extLst>
        <ext xmlns:x14="http://schemas.microsoft.com/office/spreadsheetml/2009/9/main" uri="{B025F937-C7B1-47D3-B67F-A62EFF666E3E}">
          <x14:id>{909D4B96-A169-4CE9-B437-CBEFF4A5001E}</x14:id>
        </ext>
      </extLst>
    </cfRule>
    <cfRule type="dataBar" priority="25">
      <dataBar>
        <cfvo type="min"/>
        <cfvo type="max"/>
        <color rgb="FF638EC6"/>
      </dataBar>
      <extLst>
        <ext xmlns:x14="http://schemas.microsoft.com/office/spreadsheetml/2009/9/main" uri="{B025F937-C7B1-47D3-B67F-A62EFF666E3E}">
          <x14:id>{4E5F2654-6D89-4E38-82F4-C15B1E261236}</x14:id>
        </ext>
      </extLst>
    </cfRule>
    <cfRule type="dataBar" priority="26">
      <dataBar>
        <cfvo type="min"/>
        <cfvo type="max"/>
        <color rgb="FF638EC6"/>
      </dataBar>
      <extLst>
        <ext xmlns:x14="http://schemas.microsoft.com/office/spreadsheetml/2009/9/main" uri="{B025F937-C7B1-47D3-B67F-A62EFF666E3E}">
          <x14:id>{9CD694C6-E363-4464-B2B8-60591B4FD796}</x14:id>
        </ext>
      </extLst>
    </cfRule>
  </conditionalFormatting>
  <conditionalFormatting sqref="E2:E11">
    <cfRule type="dataBar" priority="375">
      <dataBar>
        <cfvo type="min"/>
        <cfvo type="max"/>
        <color rgb="FF638EC6"/>
      </dataBar>
      <extLst>
        <ext xmlns:x14="http://schemas.microsoft.com/office/spreadsheetml/2009/9/main" uri="{B025F937-C7B1-47D3-B67F-A62EFF666E3E}">
          <x14:id>{E83DE19E-9F72-4614-A0E5-E5841E54B32C}</x14:id>
        </ext>
      </extLst>
    </cfRule>
  </conditionalFormatting>
  <conditionalFormatting sqref="E12:E22">
    <cfRule type="dataBar" priority="116">
      <dataBar>
        <cfvo type="min"/>
        <cfvo type="max"/>
        <color rgb="FF638EC6"/>
      </dataBar>
      <extLst>
        <ext xmlns:x14="http://schemas.microsoft.com/office/spreadsheetml/2009/9/main" uri="{B025F937-C7B1-47D3-B67F-A62EFF666E3E}">
          <x14:id>{23B5A057-D322-48BE-ADAB-29616FF926E2}</x14:id>
        </ext>
      </extLst>
    </cfRule>
  </conditionalFormatting>
  <conditionalFormatting sqref="H1:I1">
    <cfRule type="colorScale" priority="27">
      <colorScale>
        <cfvo type="min"/>
        <cfvo type="max"/>
        <color rgb="FF63BE7B"/>
        <color rgb="FFFCFCFF"/>
      </colorScale>
    </cfRule>
    <cfRule type="colorScale" priority="28">
      <colorScale>
        <cfvo type="min"/>
        <cfvo type="percentile" val="50"/>
        <cfvo type="max"/>
        <color rgb="FF5A8AC6"/>
        <color rgb="FFFCFCFF"/>
        <color rgb="FFF8696B"/>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CB0C52E-E9C4-4E67-9130-E8396C657FCD}">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C4E8331A-2334-4338-A185-4AB10F643994}">
            <x14:dataBar minLength="0" maxLength="100" gradient="0">
              <x14:cfvo type="autoMin"/>
              <x14:cfvo type="autoMax"/>
              <x14:negativeFillColor rgb="FFFF0000"/>
              <x14:axisColor rgb="FF000000"/>
            </x14:dataBar>
          </x14:cfRule>
          <x14:cfRule type="dataBar" id="{15291FFA-D9CB-46FD-B656-392F6CC42731}">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0B06D3C3-1B5D-4FA5-AD88-1D43A3F12834}">
            <x14:dataBar minLength="0" maxLength="100" gradient="0">
              <x14:cfvo type="autoMin"/>
              <x14:cfvo type="autoMax"/>
              <x14:negativeFillColor rgb="FFFF0000"/>
              <x14:axisColor rgb="FF000000"/>
            </x14:dataBar>
          </x14:cfRule>
          <x14:cfRule type="dataBar" id="{909D4B96-A169-4CE9-B437-CBEFF4A5001E}">
            <x14:dataBar minLength="0" maxLength="100" border="1" negativeBarBorderColorSameAsPositive="0">
              <x14:cfvo type="autoMin"/>
              <x14:cfvo type="autoMax"/>
              <x14:borderColor rgb="FF008AEF"/>
              <x14:negativeFillColor rgb="FFFF0000"/>
              <x14:negativeBorderColor rgb="FFFF0000"/>
              <x14:axisColor rgb="FF000000"/>
            </x14:dataBar>
          </x14:cfRule>
          <x14:cfRule type="dataBar" id="{4E5F2654-6D89-4E38-82F4-C15B1E261236}">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9CD694C6-E363-4464-B2B8-60591B4FD796}">
            <x14:dataBar minLength="0" maxLength="100" border="1" negativeBarBorderColorSameAsPositive="0">
              <x14:cfvo type="autoMin"/>
              <x14:cfvo type="autoMax"/>
              <x14:borderColor rgb="FF638EC6"/>
              <x14:negativeFillColor rgb="FFFF0000"/>
              <x14:negativeBorderColor rgb="FFFF0000"/>
              <x14:axisColor rgb="FF000000"/>
            </x14:dataBar>
          </x14:cfRule>
          <xm:sqref>E1</xm:sqref>
        </x14:conditionalFormatting>
        <x14:conditionalFormatting xmlns:xm="http://schemas.microsoft.com/office/excel/2006/main">
          <x14:cfRule type="dataBar" id="{E83DE19E-9F72-4614-A0E5-E5841E54B32C}">
            <x14:dataBar minLength="0" maxLength="100" border="1" negativeBarBorderColorSameAsPositive="0">
              <x14:cfvo type="autoMin"/>
              <x14:cfvo type="autoMax"/>
              <x14:borderColor rgb="FF638EC6"/>
              <x14:negativeFillColor rgb="FFFF0000"/>
              <x14:negativeBorderColor rgb="FFFF0000"/>
              <x14:axisColor rgb="FF000000"/>
            </x14:dataBar>
          </x14:cfRule>
          <xm:sqref>E2:E11</xm:sqref>
        </x14:conditionalFormatting>
        <x14:conditionalFormatting xmlns:xm="http://schemas.microsoft.com/office/excel/2006/main">
          <x14:cfRule type="dataBar" id="{23B5A057-D322-48BE-ADAB-29616FF926E2}">
            <x14:dataBar minLength="0" maxLength="100" border="1" negativeBarBorderColorSameAsPositive="0">
              <x14:cfvo type="autoMin"/>
              <x14:cfvo type="autoMax"/>
              <x14:borderColor rgb="FF638EC6"/>
              <x14:negativeFillColor rgb="FFFF0000"/>
              <x14:negativeBorderColor rgb="FFFF0000"/>
              <x14:axisColor rgb="FF000000"/>
            </x14:dataBar>
          </x14:cfRule>
          <xm:sqref>E12:E22</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9C8B68F4-1F93-4A76-ADC2-C64198651A1B}">
          <x14:formula1>
            <xm:f>Status!$A$1:$A$10</xm:f>
          </x14:formula1>
          <xm:sqref>D2:D1048576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03145-6847-4CF2-8820-56819A7AC7A0}">
  <dimension ref="A1:A13"/>
  <sheetViews>
    <sheetView workbookViewId="0">
      <selection activeCell="A15" sqref="A15"/>
    </sheetView>
  </sheetViews>
  <sheetFormatPr defaultRowHeight="15" x14ac:dyDescent="0.25"/>
  <cols>
    <col min="1" max="1" width="195.5703125" customWidth="1"/>
  </cols>
  <sheetData>
    <row r="1" spans="1:1" ht="15.75" x14ac:dyDescent="0.25">
      <c r="A1" s="61" t="s">
        <v>27</v>
      </c>
    </row>
    <row r="2" spans="1:1" ht="15.75" x14ac:dyDescent="0.25">
      <c r="A2" s="61" t="s">
        <v>28</v>
      </c>
    </row>
    <row r="3" spans="1:1" ht="31.5" x14ac:dyDescent="0.25">
      <c r="A3" s="61" t="s">
        <v>29</v>
      </c>
    </row>
    <row r="4" spans="1:1" ht="15.75" x14ac:dyDescent="0.25">
      <c r="A4" s="61" t="s">
        <v>30</v>
      </c>
    </row>
    <row r="5" spans="1:1" ht="15.75" x14ac:dyDescent="0.25">
      <c r="A5" s="61" t="s">
        <v>31</v>
      </c>
    </row>
    <row r="6" spans="1:1" ht="31.5" x14ac:dyDescent="0.25">
      <c r="A6" s="61" t="s">
        <v>32</v>
      </c>
    </row>
    <row r="7" spans="1:1" ht="31.5" x14ac:dyDescent="0.25">
      <c r="A7" s="61" t="s">
        <v>33</v>
      </c>
    </row>
    <row r="8" spans="1:1" ht="31.5" x14ac:dyDescent="0.25">
      <c r="A8" s="61" t="s">
        <v>34</v>
      </c>
    </row>
    <row r="9" spans="1:1" ht="15.75" x14ac:dyDescent="0.25">
      <c r="A9" s="61" t="s">
        <v>35</v>
      </c>
    </row>
    <row r="10" spans="1:1" ht="15.75" x14ac:dyDescent="0.25">
      <c r="A10" s="61" t="s">
        <v>36</v>
      </c>
    </row>
    <row r="11" spans="1:1" ht="15.75" x14ac:dyDescent="0.25">
      <c r="A11" s="61" t="s">
        <v>37</v>
      </c>
    </row>
    <row r="12" spans="1:1" ht="15.75" x14ac:dyDescent="0.25">
      <c r="A12" s="61" t="s">
        <v>38</v>
      </c>
    </row>
    <row r="13" spans="1:1" x14ac:dyDescent="0.25">
      <c r="A13"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EF99F-3916-4BC6-A3B1-074B23122837}">
  <dimension ref="A1:V32"/>
  <sheetViews>
    <sheetView topLeftCell="A19" workbookViewId="0">
      <selection activeCell="C13" sqref="C13"/>
    </sheetView>
  </sheetViews>
  <sheetFormatPr defaultRowHeight="15" x14ac:dyDescent="0.25"/>
  <cols>
    <col min="1" max="1" width="18.5703125" customWidth="1"/>
    <col min="2" max="2" width="14.28515625" customWidth="1"/>
    <col min="3" max="3" width="76.28515625" customWidth="1"/>
    <col min="5" max="5" width="13.7109375" customWidth="1"/>
    <col min="6" max="6" width="10.28515625" bestFit="1" customWidth="1"/>
  </cols>
  <sheetData>
    <row r="1" spans="1:3" x14ac:dyDescent="0.25">
      <c r="A1" s="58" t="s">
        <v>39</v>
      </c>
    </row>
    <row r="3" spans="1:3" x14ac:dyDescent="0.25">
      <c r="A3" s="58" t="s">
        <v>40</v>
      </c>
    </row>
    <row r="5" spans="1:3" x14ac:dyDescent="0.25">
      <c r="A5" s="44" t="s">
        <v>41</v>
      </c>
    </row>
    <row r="6" spans="1:3" x14ac:dyDescent="0.25">
      <c r="A6" s="44"/>
    </row>
    <row r="7" spans="1:3" x14ac:dyDescent="0.25">
      <c r="A7" s="44" t="s">
        <v>42</v>
      </c>
    </row>
    <row r="8" spans="1:3" x14ac:dyDescent="0.25">
      <c r="A8" s="45" t="s">
        <v>43</v>
      </c>
    </row>
    <row r="9" spans="1:3" x14ac:dyDescent="0.25">
      <c r="A9" s="45"/>
    </row>
    <row r="10" spans="1:3" x14ac:dyDescent="0.25">
      <c r="A10" s="46" t="s">
        <v>44</v>
      </c>
    </row>
    <row r="11" spans="1:3" x14ac:dyDescent="0.25">
      <c r="A11" s="47" t="s">
        <v>45</v>
      </c>
      <c r="C11" t="s">
        <v>46</v>
      </c>
    </row>
    <row r="12" spans="1:3" x14ac:dyDescent="0.25">
      <c r="A12" s="47" t="s">
        <v>47</v>
      </c>
    </row>
    <row r="13" spans="1:3" x14ac:dyDescent="0.25">
      <c r="A13" s="47" t="s">
        <v>48</v>
      </c>
    </row>
    <row r="14" spans="1:3" x14ac:dyDescent="0.25">
      <c r="A14" s="45"/>
    </row>
    <row r="15" spans="1:3" x14ac:dyDescent="0.25">
      <c r="A15" s="46" t="s">
        <v>49</v>
      </c>
      <c r="C15" t="s">
        <v>50</v>
      </c>
    </row>
    <row r="16" spans="1:3" x14ac:dyDescent="0.25">
      <c r="A16" s="46"/>
    </row>
    <row r="17" spans="1:22" x14ac:dyDescent="0.25">
      <c r="A17" s="48" t="s">
        <v>51</v>
      </c>
      <c r="B17" s="48" t="s">
        <v>52</v>
      </c>
      <c r="C17" s="48" t="s">
        <v>53</v>
      </c>
      <c r="E17" s="66" t="s">
        <v>54</v>
      </c>
      <c r="F17" s="68" t="s">
        <v>55</v>
      </c>
      <c r="G17" s="63" t="s">
        <v>56</v>
      </c>
      <c r="H17" s="63"/>
      <c r="I17" s="63"/>
      <c r="J17" s="63"/>
      <c r="K17" s="63"/>
      <c r="L17" s="64" t="s">
        <v>57</v>
      </c>
      <c r="M17" s="64"/>
      <c r="N17" s="64"/>
      <c r="O17" s="64"/>
      <c r="P17" s="64"/>
      <c r="Q17" s="65" t="s">
        <v>58</v>
      </c>
      <c r="R17" s="65"/>
      <c r="S17" s="65"/>
      <c r="T17" s="65"/>
      <c r="U17" s="65"/>
    </row>
    <row r="18" spans="1:22" x14ac:dyDescent="0.25">
      <c r="A18" s="49" t="s">
        <v>59</v>
      </c>
      <c r="B18" s="49" t="s">
        <v>60</v>
      </c>
      <c r="C18" s="49" t="s">
        <v>61</v>
      </c>
      <c r="E18" s="67"/>
      <c r="F18" s="69"/>
      <c r="G18" s="56" t="s">
        <v>62</v>
      </c>
      <c r="H18" s="56" t="s">
        <v>63</v>
      </c>
      <c r="I18" s="56" t="s">
        <v>64</v>
      </c>
      <c r="J18" s="56" t="s">
        <v>65</v>
      </c>
      <c r="K18" s="56" t="s">
        <v>66</v>
      </c>
      <c r="L18" s="56" t="s">
        <v>62</v>
      </c>
      <c r="M18" s="56" t="s">
        <v>63</v>
      </c>
      <c r="N18" s="56" t="s">
        <v>64</v>
      </c>
      <c r="O18" s="56" t="s">
        <v>65</v>
      </c>
      <c r="P18" s="56" t="s">
        <v>66</v>
      </c>
      <c r="Q18" s="56" t="s">
        <v>62</v>
      </c>
      <c r="R18" s="56" t="s">
        <v>63</v>
      </c>
      <c r="S18" s="56" t="s">
        <v>64</v>
      </c>
      <c r="T18" s="56" t="s">
        <v>65</v>
      </c>
      <c r="U18" s="56" t="s">
        <v>66</v>
      </c>
    </row>
    <row r="19" spans="1:22" ht="90" x14ac:dyDescent="0.25">
      <c r="A19" s="49" t="s">
        <v>67</v>
      </c>
      <c r="B19" s="49" t="s">
        <v>68</v>
      </c>
      <c r="C19" s="49" t="s">
        <v>69</v>
      </c>
      <c r="E19" s="56" t="s">
        <v>70</v>
      </c>
      <c r="F19" s="57"/>
      <c r="G19" s="56"/>
      <c r="H19" s="56"/>
      <c r="I19" s="56"/>
      <c r="J19" s="56"/>
      <c r="K19" s="56"/>
      <c r="L19" s="56"/>
      <c r="M19" s="56"/>
      <c r="N19" s="56"/>
      <c r="O19" s="56"/>
      <c r="P19" s="56"/>
      <c r="Q19" s="56"/>
      <c r="R19" s="56"/>
      <c r="S19" s="56"/>
      <c r="T19" s="56"/>
      <c r="U19" s="56"/>
    </row>
    <row r="20" spans="1:22" ht="120" x14ac:dyDescent="0.25">
      <c r="A20" s="49" t="s">
        <v>71</v>
      </c>
      <c r="B20" s="49" t="s">
        <v>72</v>
      </c>
      <c r="C20" s="49" t="s">
        <v>73</v>
      </c>
      <c r="E20" s="56" t="s">
        <v>74</v>
      </c>
      <c r="F20" s="57"/>
      <c r="G20" s="56"/>
      <c r="H20" s="56"/>
      <c r="I20" s="56"/>
      <c r="J20" s="56"/>
      <c r="K20" s="56"/>
      <c r="L20" s="56"/>
      <c r="M20" s="56"/>
      <c r="N20" s="56"/>
      <c r="O20" s="56"/>
      <c r="P20" s="56"/>
      <c r="Q20" s="56"/>
      <c r="R20" s="56"/>
      <c r="S20" s="56"/>
      <c r="T20" s="56"/>
      <c r="U20" s="56"/>
    </row>
    <row r="21" spans="1:22" x14ac:dyDescent="0.25">
      <c r="A21" s="45"/>
      <c r="E21" s="56" t="s">
        <v>75</v>
      </c>
      <c r="F21" s="57"/>
      <c r="G21" s="56"/>
      <c r="H21" s="56"/>
      <c r="I21" s="56"/>
      <c r="J21" s="56"/>
      <c r="K21" s="56"/>
      <c r="L21" s="56"/>
      <c r="M21" s="56"/>
      <c r="N21" s="56"/>
      <c r="O21" s="56"/>
      <c r="P21" s="56"/>
      <c r="Q21" s="56"/>
      <c r="R21" s="56"/>
      <c r="S21" s="56"/>
      <c r="T21" s="56"/>
      <c r="U21" s="56"/>
    </row>
    <row r="22" spans="1:22" x14ac:dyDescent="0.25">
      <c r="A22" s="46"/>
      <c r="E22" s="56"/>
      <c r="F22" s="57" t="s">
        <v>66</v>
      </c>
      <c r="G22" s="63">
        <v>0</v>
      </c>
      <c r="H22" s="63"/>
      <c r="I22" s="63"/>
      <c r="J22" s="63"/>
      <c r="K22" s="63"/>
      <c r="L22" s="64">
        <v>0</v>
      </c>
      <c r="M22" s="64"/>
      <c r="N22" s="64"/>
      <c r="O22" s="64"/>
      <c r="P22" s="64"/>
      <c r="Q22" s="65"/>
      <c r="R22" s="65"/>
      <c r="S22" s="65"/>
      <c r="T22" s="65"/>
      <c r="U22" s="65"/>
    </row>
    <row r="23" spans="1:22" x14ac:dyDescent="0.25">
      <c r="A23" s="46"/>
      <c r="E23" s="50"/>
      <c r="F23" s="51"/>
      <c r="G23" s="52"/>
      <c r="H23" s="52"/>
      <c r="I23" s="52"/>
      <c r="J23" s="52"/>
      <c r="K23" s="52"/>
      <c r="L23" s="53"/>
      <c r="M23" s="53"/>
      <c r="N23" s="53"/>
      <c r="O23" s="53"/>
      <c r="P23" s="53"/>
      <c r="Q23" s="54"/>
      <c r="R23" s="54"/>
      <c r="S23" s="54"/>
      <c r="T23" s="54"/>
      <c r="U23" s="54"/>
      <c r="V23" s="55"/>
    </row>
    <row r="24" spans="1:22" x14ac:dyDescent="0.25">
      <c r="A24" s="46" t="s">
        <v>76</v>
      </c>
      <c r="E24" s="50"/>
      <c r="F24" s="51"/>
      <c r="G24" s="52"/>
      <c r="H24" s="52"/>
      <c r="I24" s="52"/>
      <c r="J24" s="52"/>
      <c r="K24" s="52"/>
      <c r="L24" s="53"/>
      <c r="M24" s="53"/>
      <c r="N24" s="53"/>
      <c r="O24" s="53"/>
      <c r="P24" s="53"/>
      <c r="Q24" s="54"/>
      <c r="R24" s="54"/>
      <c r="S24" s="54"/>
      <c r="T24" s="54"/>
      <c r="U24" s="54"/>
      <c r="V24" s="55"/>
    </row>
    <row r="25" spans="1:22" x14ac:dyDescent="0.25">
      <c r="A25" s="47" t="s">
        <v>77</v>
      </c>
    </row>
    <row r="26" spans="1:22" x14ac:dyDescent="0.25">
      <c r="A26" s="47" t="s">
        <v>78</v>
      </c>
    </row>
    <row r="27" spans="1:22" x14ac:dyDescent="0.25">
      <c r="A27" s="47" t="s">
        <v>79</v>
      </c>
    </row>
    <row r="28" spans="1:22" x14ac:dyDescent="0.25">
      <c r="A28" s="45"/>
    </row>
    <row r="29" spans="1:22" x14ac:dyDescent="0.25">
      <c r="A29" s="46" t="s">
        <v>80</v>
      </c>
    </row>
    <row r="30" spans="1:22" x14ac:dyDescent="0.25">
      <c r="A30" s="47" t="s">
        <v>45</v>
      </c>
    </row>
    <row r="31" spans="1:22" x14ac:dyDescent="0.25">
      <c r="A31" s="47" t="s">
        <v>47</v>
      </c>
    </row>
    <row r="32" spans="1:22" x14ac:dyDescent="0.25">
      <c r="A32" s="47" t="s">
        <v>48</v>
      </c>
    </row>
  </sheetData>
  <mergeCells count="8">
    <mergeCell ref="G22:K22"/>
    <mergeCell ref="L22:P22"/>
    <mergeCell ref="Q22:U22"/>
    <mergeCell ref="E17:E18"/>
    <mergeCell ref="F17:F18"/>
    <mergeCell ref="G17:K17"/>
    <mergeCell ref="L17:P17"/>
    <mergeCell ref="Q17:U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60EDE-3CF1-4906-8AC0-D3764096BA91}">
  <dimension ref="A1:J9"/>
  <sheetViews>
    <sheetView workbookViewId="0">
      <selection activeCell="F13" sqref="F13"/>
    </sheetView>
  </sheetViews>
  <sheetFormatPr defaultRowHeight="15" x14ac:dyDescent="0.25"/>
  <cols>
    <col min="1" max="1" width="30.28515625" bestFit="1" customWidth="1"/>
    <col min="2" max="2" width="8" bestFit="1" customWidth="1"/>
    <col min="3" max="3" width="6.7109375" bestFit="1" customWidth="1"/>
    <col min="4" max="4" width="8.7109375" bestFit="1" customWidth="1"/>
    <col min="5" max="5" width="10.28515625" bestFit="1" customWidth="1"/>
    <col min="6" max="6" width="9.7109375" bestFit="1" customWidth="1"/>
    <col min="7" max="7" width="11.42578125" bestFit="1" customWidth="1"/>
    <col min="8" max="8" width="9" bestFit="1" customWidth="1"/>
    <col min="9" max="9" width="18.5703125" bestFit="1" customWidth="1"/>
    <col min="10" max="10" width="19.7109375" bestFit="1" customWidth="1"/>
    <col min="11" max="11" width="14.85546875" bestFit="1" customWidth="1"/>
    <col min="12" max="12" width="13.5703125" customWidth="1"/>
    <col min="13" max="13" width="9" bestFit="1" customWidth="1"/>
    <col min="14" max="14" width="10.42578125" customWidth="1"/>
    <col min="15" max="15" width="16.28515625" bestFit="1" customWidth="1"/>
    <col min="16" max="16" width="7.140625" bestFit="1" customWidth="1"/>
    <col min="17" max="17" width="5.140625" bestFit="1" customWidth="1"/>
    <col min="18" max="18" width="2.28515625" bestFit="1" customWidth="1"/>
    <col min="19" max="21" width="3.42578125" bestFit="1" customWidth="1"/>
    <col min="22" max="23" width="2.28515625" bestFit="1" customWidth="1"/>
    <col min="24" max="25" width="3.42578125" bestFit="1" customWidth="1"/>
    <col min="26" max="27" width="2.28515625" bestFit="1" customWidth="1"/>
    <col min="28" max="28" width="3.42578125" bestFit="1" customWidth="1"/>
  </cols>
  <sheetData>
    <row r="1" spans="1:10" ht="28.5" x14ac:dyDescent="0.25">
      <c r="A1" s="6" t="s">
        <v>81</v>
      </c>
      <c r="B1" s="7" t="s">
        <v>82</v>
      </c>
      <c r="C1" s="7" t="s">
        <v>83</v>
      </c>
      <c r="D1" s="7" t="s">
        <v>84</v>
      </c>
      <c r="E1" s="7" t="s">
        <v>85</v>
      </c>
      <c r="F1" s="7" t="s">
        <v>64</v>
      </c>
      <c r="G1" s="7" t="s">
        <v>86</v>
      </c>
      <c r="H1" s="7" t="s">
        <v>87</v>
      </c>
      <c r="I1" s="7" t="s">
        <v>88</v>
      </c>
      <c r="J1" s="7" t="s">
        <v>89</v>
      </c>
    </row>
    <row r="2" spans="1:10" ht="15.75" x14ac:dyDescent="0.25">
      <c r="A2" s="2" t="s">
        <v>90</v>
      </c>
      <c r="B2" s="8">
        <v>10</v>
      </c>
      <c r="C2" s="8" t="e" cm="1">
        <f t="array" aca="1" ref="C2" ca="1">INDIRECT("'"&amp;A2&amp;"'!C2")</f>
        <v>#REF!</v>
      </c>
      <c r="D2" s="8" t="e" cm="1">
        <f t="array" aca="1" ref="D2" ca="1">INDIRECT("'"&amp;A2&amp;"'!D2")</f>
        <v>#REF!</v>
      </c>
      <c r="E2" s="8" t="e" cm="1">
        <f t="array" aca="1" ref="E2" ca="1">INDIRECT("'"&amp;A2&amp;"'!E2")</f>
        <v>#REF!</v>
      </c>
      <c r="F2" s="8" t="e" cm="1">
        <f t="array" aca="1" ref="F2" ca="1">INDIRECT("'"&amp;A2&amp;"'!F2")</f>
        <v>#REF!</v>
      </c>
      <c r="G2" s="8">
        <v>10</v>
      </c>
      <c r="H2" s="9" t="e">
        <f ca="1">(B2+E2)/G2</f>
        <v>#REF!</v>
      </c>
      <c r="I2" s="13"/>
      <c r="J2" s="14"/>
    </row>
    <row r="3" spans="1:10" ht="15.75" x14ac:dyDescent="0.25">
      <c r="A3" s="2" t="s">
        <v>91</v>
      </c>
      <c r="B3" s="8">
        <v>20</v>
      </c>
      <c r="C3" s="8" t="e" cm="1">
        <f t="array" aca="1" ref="C3" ca="1">INDIRECT("'"&amp;A3&amp;"'!C2")</f>
        <v>#REF!</v>
      </c>
      <c r="D3" s="8" t="e" cm="1">
        <f t="array" aca="1" ref="D3" ca="1">INDIRECT("'"&amp;A3&amp;"'!D2")</f>
        <v>#REF!</v>
      </c>
      <c r="E3" s="8" t="e" cm="1">
        <f t="array" aca="1" ref="E3" ca="1">INDIRECT("'"&amp;A3&amp;"'!E2")</f>
        <v>#REF!</v>
      </c>
      <c r="F3" s="8" t="e" cm="1">
        <f t="array" aca="1" ref="F3" ca="1">INDIRECT("'"&amp;A3&amp;"'!F2")</f>
        <v>#REF!</v>
      </c>
      <c r="G3" s="8">
        <v>20</v>
      </c>
      <c r="H3" s="9" t="e">
        <f ca="1">(B3+E3)/G3</f>
        <v>#REF!</v>
      </c>
      <c r="I3" s="13"/>
      <c r="J3" s="15"/>
    </row>
    <row r="4" spans="1:10" ht="15.75" x14ac:dyDescent="0.25">
      <c r="A4" s="2" t="s">
        <v>92</v>
      </c>
      <c r="B4" s="8">
        <v>10</v>
      </c>
      <c r="C4" s="8" t="e" cm="1">
        <f t="array" aca="1" ref="C4" ca="1">INDIRECT("'"&amp;A4&amp;"'!D3")</f>
        <v>#REF!</v>
      </c>
      <c r="D4" s="8" t="e" cm="1">
        <f t="array" aca="1" ref="D4" ca="1">INDIRECT("'"&amp;A4&amp;"'!E3")</f>
        <v>#REF!</v>
      </c>
      <c r="E4" s="8" t="e" cm="1">
        <f t="array" aca="1" ref="E4" ca="1">INDIRECT("'"&amp;A4&amp;"'!F3")</f>
        <v>#REF!</v>
      </c>
      <c r="F4" s="8" t="e" cm="1">
        <f t="array" aca="1" ref="F4" ca="1">INDIRECT("'"&amp;A4&amp;"'!G3")</f>
        <v>#REF!</v>
      </c>
      <c r="G4" s="8">
        <v>10</v>
      </c>
      <c r="H4" s="9" t="e">
        <f ca="1">(B4+E4)/G4</f>
        <v>#REF!</v>
      </c>
      <c r="I4" s="13"/>
      <c r="J4" s="16"/>
    </row>
    <row r="5" spans="1:10" ht="15.75" x14ac:dyDescent="0.25">
      <c r="A5" s="2" t="s">
        <v>93</v>
      </c>
      <c r="B5" s="8">
        <v>10</v>
      </c>
      <c r="C5" s="8" t="e" cm="1">
        <f t="array" aca="1" ref="C5" ca="1">INDIRECT("'"&amp;A5&amp;"'!C2")</f>
        <v>#REF!</v>
      </c>
      <c r="D5" s="8" t="e" cm="1">
        <f t="array" aca="1" ref="D5" ca="1">INDIRECT("'"&amp;A5&amp;"'!D2")</f>
        <v>#REF!</v>
      </c>
      <c r="E5" s="8" t="e" cm="1">
        <f t="array" aca="1" ref="E5" ca="1">INDIRECT("'"&amp;A5&amp;"'!E2")</f>
        <v>#REF!</v>
      </c>
      <c r="F5" s="8" t="e" cm="1">
        <f t="array" aca="1" ref="F5" ca="1">INDIRECT("'"&amp;A5&amp;"'!F2")</f>
        <v>#REF!</v>
      </c>
      <c r="G5" s="8">
        <v>10</v>
      </c>
      <c r="H5" s="9" t="e">
        <f ca="1">(B5+E5+C5)/G5</f>
        <v>#REF!</v>
      </c>
      <c r="I5" s="13"/>
      <c r="J5" s="17"/>
    </row>
    <row r="6" spans="1:10" ht="15.75" x14ac:dyDescent="0.25">
      <c r="A6" s="2" t="s">
        <v>94</v>
      </c>
      <c r="B6" s="8" t="e" cm="1">
        <f t="array" aca="1" ref="B6" ca="1">INDIRECT("'"&amp;A6&amp;"'!B2")</f>
        <v>#REF!</v>
      </c>
      <c r="C6" s="8" t="e" cm="1">
        <f t="array" aca="1" ref="C6" ca="1">INDIRECT("'"&amp;A6&amp;"'!C2")</f>
        <v>#REF!</v>
      </c>
      <c r="D6" s="8" t="e" cm="1">
        <f t="array" aca="1" ref="D6" ca="1">INDIRECT("'"&amp;A6&amp;"'!D2")</f>
        <v>#REF!</v>
      </c>
      <c r="E6" s="8" t="e" cm="1">
        <f t="array" aca="1" ref="E6" ca="1">INDIRECT("'"&amp;A6&amp;"'!E2")</f>
        <v>#REF!</v>
      </c>
      <c r="F6" s="8" t="e" cm="1">
        <f t="array" aca="1" ref="F6" ca="1">INDIRECT("'"&amp;A6&amp;"'!F2")</f>
        <v>#REF!</v>
      </c>
      <c r="G6" s="8">
        <v>10</v>
      </c>
      <c r="H6" s="9" t="e">
        <f ca="1">(B6+E6)/G6</f>
        <v>#REF!</v>
      </c>
      <c r="I6" s="13"/>
      <c r="J6" s="16"/>
    </row>
    <row r="7" spans="1:10" ht="15.75" x14ac:dyDescent="0.25">
      <c r="A7" s="3" t="s">
        <v>95</v>
      </c>
      <c r="B7" s="10">
        <v>10</v>
      </c>
      <c r="C7" s="10" t="e">
        <f ca="1">SUM(C2:C6)</f>
        <v>#REF!</v>
      </c>
      <c r="D7" s="10" t="e">
        <f ca="1">SUM(D2:D6)</f>
        <v>#REF!</v>
      </c>
      <c r="E7" s="10" t="e">
        <f ca="1">SUM(E2:E6)</f>
        <v>#REF!</v>
      </c>
      <c r="F7" s="10" t="e">
        <f ca="1">SUM(F2:F6)</f>
        <v>#REF!</v>
      </c>
      <c r="G7" s="10">
        <f>SUM(G2:G6)</f>
        <v>60</v>
      </c>
      <c r="H7" s="11" t="e">
        <f ca="1">(B7+E7)/G7</f>
        <v>#REF!</v>
      </c>
      <c r="I7" s="13"/>
      <c r="J7" s="18"/>
    </row>
    <row r="8" spans="1:10" ht="15.75" x14ac:dyDescent="0.25">
      <c r="A8" s="3" t="s">
        <v>96</v>
      </c>
      <c r="B8" s="12">
        <f t="shared" ref="B8:G8" si="0">B7/$G$7</f>
        <v>0.16666666666666666</v>
      </c>
      <c r="C8" s="12" t="e">
        <f t="shared" ca="1" si="0"/>
        <v>#REF!</v>
      </c>
      <c r="D8" s="12" t="e">
        <f t="shared" ca="1" si="0"/>
        <v>#REF!</v>
      </c>
      <c r="E8" s="12" t="e">
        <f t="shared" ca="1" si="0"/>
        <v>#REF!</v>
      </c>
      <c r="F8" s="12" t="e">
        <f t="shared" ca="1" si="0"/>
        <v>#REF!</v>
      </c>
      <c r="G8" s="12">
        <f t="shared" si="0"/>
        <v>1</v>
      </c>
      <c r="H8" s="11" t="e">
        <f ca="1">(B8+E8)/G8</f>
        <v>#REF!</v>
      </c>
      <c r="I8" s="4"/>
      <c r="J8" s="18"/>
    </row>
    <row r="9" spans="1:10" x14ac:dyDescent="0.25">
      <c r="A9" s="5"/>
    </row>
  </sheetData>
  <phoneticPr fontId="26" type="noConversion"/>
  <hyperlinks>
    <hyperlink ref="A2" location="'ATM-CAM'!A1" display="ATM-CAM" xr:uid="{C4490E40-74CB-4AFB-A9F5-361A0C5E10CA}"/>
    <hyperlink ref="A3:A6" location="'ATM-CAM'!A1" display="ATM-CAM" xr:uid="{E2509E3F-725E-4232-B4F2-054D16CE9E1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E106B-5CE2-406D-BD00-E0177006AC3A}">
  <dimension ref="A1"/>
  <sheetViews>
    <sheetView workbookViewId="0">
      <selection activeCell="A42" sqref="A42"/>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57A0D-F3B2-4814-BC59-DE48F7E0BCF6}">
  <dimension ref="A1:C9"/>
  <sheetViews>
    <sheetView workbookViewId="0">
      <selection activeCell="C12" sqref="C12"/>
    </sheetView>
  </sheetViews>
  <sheetFormatPr defaultRowHeight="12.75" x14ac:dyDescent="0.2"/>
  <cols>
    <col min="1" max="2" width="9.140625" style="43"/>
    <col min="3" max="3" width="22.28515625" style="43" customWidth="1"/>
    <col min="4" max="16384" width="9.140625" style="43"/>
  </cols>
  <sheetData>
    <row r="1" spans="1:3" x14ac:dyDescent="0.2">
      <c r="A1" s="59" t="s">
        <v>99</v>
      </c>
      <c r="B1" s="60" t="s">
        <v>100</v>
      </c>
      <c r="C1" s="60" t="s">
        <v>98</v>
      </c>
    </row>
    <row r="2" spans="1:3" x14ac:dyDescent="0.2">
      <c r="A2" s="59" t="s">
        <v>11</v>
      </c>
      <c r="B2" s="60" t="s">
        <v>97</v>
      </c>
      <c r="C2" s="60" t="s">
        <v>101</v>
      </c>
    </row>
    <row r="3" spans="1:3" x14ac:dyDescent="0.2">
      <c r="A3" s="59" t="s">
        <v>13</v>
      </c>
      <c r="B3" s="60" t="s">
        <v>102</v>
      </c>
      <c r="C3" s="60" t="s">
        <v>103</v>
      </c>
    </row>
    <row r="4" spans="1:3" x14ac:dyDescent="0.2">
      <c r="A4" s="59" t="s">
        <v>104</v>
      </c>
      <c r="B4" s="60" t="s">
        <v>105</v>
      </c>
      <c r="C4" s="60" t="s">
        <v>106</v>
      </c>
    </row>
    <row r="5" spans="1:3" x14ac:dyDescent="0.2">
      <c r="A5" s="59" t="s">
        <v>107</v>
      </c>
      <c r="B5" s="60"/>
      <c r="C5" s="60" t="s">
        <v>108</v>
      </c>
    </row>
    <row r="6" spans="1:3" x14ac:dyDescent="0.2">
      <c r="A6" s="59" t="s">
        <v>84</v>
      </c>
      <c r="B6" s="60"/>
      <c r="C6" s="60" t="s">
        <v>84</v>
      </c>
    </row>
    <row r="7" spans="1:3" x14ac:dyDescent="0.2">
      <c r="A7" s="60" t="s">
        <v>109</v>
      </c>
      <c r="B7" s="60"/>
      <c r="C7" s="60" t="s">
        <v>110</v>
      </c>
    </row>
    <row r="8" spans="1:3" x14ac:dyDescent="0.2">
      <c r="A8" s="60" t="s">
        <v>111</v>
      </c>
      <c r="B8" s="60"/>
      <c r="C8" s="60" t="s">
        <v>112</v>
      </c>
    </row>
    <row r="9" spans="1:3" x14ac:dyDescent="0.2">
      <c r="A9" s="60" t="s">
        <v>113</v>
      </c>
      <c r="B9" s="60"/>
      <c r="C9" s="6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5BFB9A33F26E74C869318EF50C690C2" ma:contentTypeVersion="20" ma:contentTypeDescription="Create a new document." ma:contentTypeScope="" ma:versionID="14b994f7b4babab5a08ce14b35aadadc">
  <xsd:schema xmlns:xsd="http://www.w3.org/2001/XMLSchema" xmlns:xs="http://www.w3.org/2001/XMLSchema" xmlns:p="http://schemas.microsoft.com/office/2006/metadata/properties" xmlns:ns1="http://schemas.microsoft.com/sharepoint/v3" xmlns:ns2="d461f11b-9d44-413a-a9b9-e5bafd177709" xmlns:ns3="05a8977d-105a-4e36-85e0-df61f50ec74e" targetNamespace="http://schemas.microsoft.com/office/2006/metadata/properties" ma:root="true" ma:fieldsID="6282ca9f6a3e9acea4c61bb027be2ec1" ns1:_="" ns2:_="" ns3:_="">
    <xsd:import namespace="http://schemas.microsoft.com/sharepoint/v3"/>
    <xsd:import namespace="d461f11b-9d44-413a-a9b9-e5bafd177709"/>
    <xsd:import namespace="05a8977d-105a-4e36-85e0-df61f50ec74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1:_ip_UnifiedCompliancePolicyProperties" minOccurs="0"/>
                <xsd:element ref="ns1:_ip_UnifiedCompliancePolicyUIAction"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461f11b-9d44-413a-a9b9-e5bafd1777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57df31de-d0a2-4711-bd7c-d50fbba943c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5a8977d-105a-4e36-85e0-df61f50ec74e"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9f2c2476-414c-4610-ae92-a817ef5d57b2}" ma:internalName="TaxCatchAll" ma:showField="CatchAllData" ma:web="05a8977d-105a-4e36-85e0-df61f50ec74e">
      <xsd:complexType>
        <xsd:complexContent>
          <xsd:extension base="dms:MultiChoiceLookup">
            <xsd:sequence>
              <xsd:element name="Value" type="dms:Lookup" maxOccurs="unbounded" minOccurs="0" nillable="true"/>
            </xsd:sequence>
          </xsd:extension>
        </xsd:complexContent>
      </xsd:complexType>
    </xsd:element>
    <xsd:element name="SharedWithUsers" ma:index="2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d461f11b-9d44-413a-a9b9-e5bafd177709">
      <Terms xmlns="http://schemas.microsoft.com/office/infopath/2007/PartnerControls"/>
    </lcf76f155ced4ddcb4097134ff3c332f>
    <TaxCatchAll xmlns="05a8977d-105a-4e36-85e0-df61f50ec74e" xsi:nil="true"/>
  </documentManagement>
</p:properties>
</file>

<file path=customXml/itemProps1.xml><?xml version="1.0" encoding="utf-8"?>
<ds:datastoreItem xmlns:ds="http://schemas.openxmlformats.org/officeDocument/2006/customXml" ds:itemID="{AC853A40-4030-45AA-8A4D-4F9931987746}">
  <ds:schemaRefs>
    <ds:schemaRef ds:uri="http://schemas.microsoft.com/sharepoint/v3/contenttype/forms"/>
  </ds:schemaRefs>
</ds:datastoreItem>
</file>

<file path=customXml/itemProps2.xml><?xml version="1.0" encoding="utf-8"?>
<ds:datastoreItem xmlns:ds="http://schemas.openxmlformats.org/officeDocument/2006/customXml" ds:itemID="{57C702EA-F8CC-4BED-ADCF-E7B4857EEC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461f11b-9d44-413a-a9b9-e5bafd177709"/>
    <ds:schemaRef ds:uri="05a8977d-105a-4e36-85e0-df61f50ec7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85DCA0A-3DA2-44D6-8ABC-AC6A55337AC3}">
  <ds:schemaRefs>
    <ds:schemaRef ds:uri="http://schemas.microsoft.com/office/2006/metadata/properties"/>
    <ds:schemaRef ds:uri="http://schemas.microsoft.com/office/infopath/2007/PartnerControls"/>
    <ds:schemaRef ds:uri="http://schemas.microsoft.com/sharepoint/v3"/>
    <ds:schemaRef ds:uri="d461f11b-9d44-413a-a9b9-e5bafd177709"/>
    <ds:schemaRef ds:uri="05a8977d-105a-4e36-85e0-df61f50ec74e"/>
  </ds:schemaRefs>
</ds:datastoreItem>
</file>

<file path=docMetadata/LabelInfo.xml><?xml version="1.0" encoding="utf-8"?>
<clbl:labelList xmlns:clbl="http://schemas.microsoft.com/office/2020/mipLabelMetadata">
  <clbl:label id="{6b8fd645-e468-4239-9c47-332e67bbe4ea}" enabled="1" method="Standard" siteId="{43a92d1d-98ce-4726-bec3-32955dbb694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Timeline</vt:lpstr>
      <vt:lpstr>Checklist ReviewTestcase</vt:lpstr>
      <vt:lpstr>Project DailyReport</vt:lpstr>
      <vt:lpstr>Testcase Summary</vt:lpstr>
      <vt:lpstr>Jira Dashboard</vt:lpstr>
      <vt:lpstr>Status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Kiet, Hoang Ngoc</cp:lastModifiedBy>
  <cp:revision/>
  <dcterms:created xsi:type="dcterms:W3CDTF">2024-11-07T01:42:47Z</dcterms:created>
  <dcterms:modified xsi:type="dcterms:W3CDTF">2026-04-06T09:42:45Z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0x01010045BFB9A33F26E74C869318EF50C690C2</vt:lpwstr>
  </property>
  <property fmtid="{D5CDD505-2E9C-101B-9397-08002B2CF9AE}" pid="3" name="MediaServiceImageTags">
    <vt:lpwstr/>
  </property>
</Properties>
</file>